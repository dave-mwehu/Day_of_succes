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351CA3F-D84F-4669-BEDF-4B858A243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ivi_Hebdomadaire" sheetId="1" r:id="rId1"/>
    <sheet name="Feuil2" sheetId="2" r:id="rId2"/>
    <sheet name="Feuil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3" l="1"/>
  <c r="G14" i="3"/>
  <c r="F14" i="3"/>
  <c r="E14" i="3"/>
  <c r="D14" i="3"/>
  <c r="I14" i="3" s="1"/>
  <c r="C14" i="3"/>
  <c r="B14" i="3"/>
  <c r="H13" i="3"/>
  <c r="G13" i="3"/>
  <c r="F13" i="3"/>
  <c r="E13" i="3"/>
  <c r="D13" i="3"/>
  <c r="C13" i="3"/>
  <c r="B13" i="3"/>
  <c r="H9" i="1"/>
  <c r="I6" i="3" s="1"/>
  <c r="G9" i="1"/>
  <c r="E9" i="1"/>
  <c r="F9" i="1" s="1"/>
  <c r="I9" i="1" s="1"/>
  <c r="I8" i="3" s="1"/>
  <c r="H8" i="1"/>
  <c r="H6" i="3" s="1"/>
  <c r="G8" i="1"/>
  <c r="E8" i="1"/>
  <c r="F8" i="1" s="1"/>
  <c r="I8" i="1" s="1"/>
  <c r="H8" i="3" s="1"/>
  <c r="G7" i="1"/>
  <c r="H7" i="1" s="1"/>
  <c r="G6" i="3" s="1"/>
  <c r="E7" i="1"/>
  <c r="F7" i="1" s="1"/>
  <c r="I7" i="1" s="1"/>
  <c r="G8" i="3" s="1"/>
  <c r="G6" i="1"/>
  <c r="H6" i="1" s="1"/>
  <c r="F6" i="3" s="1"/>
  <c r="E6" i="1"/>
  <c r="F6" i="1" s="1"/>
  <c r="G5" i="1"/>
  <c r="H5" i="1" s="1"/>
  <c r="E6" i="3" s="1"/>
  <c r="E5" i="1"/>
  <c r="F5" i="1" s="1"/>
  <c r="I5" i="1" s="1"/>
  <c r="E8" i="3" s="1"/>
  <c r="G4" i="1"/>
  <c r="H4" i="1" s="1"/>
  <c r="D6" i="3" s="1"/>
  <c r="E4" i="1"/>
  <c r="F4" i="1" s="1"/>
  <c r="I4" i="1" s="1"/>
  <c r="D8" i="3" s="1"/>
  <c r="G3" i="1"/>
  <c r="H3" i="1" s="1"/>
  <c r="E3" i="1"/>
  <c r="F3" i="1" s="1"/>
  <c r="G2" i="1"/>
  <c r="H2" i="1" s="1"/>
  <c r="B6" i="3" s="1"/>
  <c r="E2" i="1"/>
  <c r="F2" i="1" s="1"/>
  <c r="I2" i="1" s="1"/>
  <c r="B8" i="3" s="1"/>
  <c r="I6" i="1" l="1"/>
  <c r="F8" i="3" s="1"/>
  <c r="C6" i="3"/>
  <c r="I3" i="1"/>
  <c r="C8" i="3" s="1"/>
</calcChain>
</file>

<file path=xl/sharedStrings.xml><?xml version="1.0" encoding="utf-8"?>
<sst xmlns="http://schemas.openxmlformats.org/spreadsheetml/2006/main" count="100" uniqueCount="84">
  <si>
    <t>Membre</t>
  </si>
  <si>
    <t>Date de début</t>
  </si>
  <si>
    <t>Base Attendu Historique</t>
  </si>
  <si>
    <t>Dépôts Antérieurs</t>
  </si>
  <si>
    <t>Semaines Écoulées</t>
  </si>
  <si>
    <t>Total Attendu</t>
  </si>
  <si>
    <t>Nouveaux Dépôts</t>
  </si>
  <si>
    <t>Total Dépôts</t>
  </si>
  <si>
    <t>Dette Globale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</si>
  <si>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</si>
  <si>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</si>
  <si>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</si>
  <si>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</si>
  <si>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</si>
  <si>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</si>
  <si>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</si>
  <si>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</si>
  <si>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</si>
  <si>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</si>
  <si>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</si>
  <si>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</si>
  <si>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</si>
  <si>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</si>
  <si>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</si>
  <si>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</si>
  <si>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</si>
  <si>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</si>
  <si>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</si>
  <si>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</si>
  <si>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</si>
  <si>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</si>
  <si>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</si>
  <si>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</si>
  <si>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</si>
  <si>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</si>
  <si>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</si>
  <si>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</si>
  <si>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</si>
  <si>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</si>
  <si>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</si>
  <si>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</si>
  <si>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</si>
  <si>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</si>
  <si>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</si>
  <si>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</si>
  <si>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</si>
  <si>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</si>
  <si>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</si>
  <si>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</si>
  <si>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</si>
  <si>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</si>
  <si>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</si>
  <si>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</si>
  <si>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</si>
  <si>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</si>
  <si>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</si>
  <si>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</si>
  <si>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</si>
  <si>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</si>
  <si>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</si>
  <si>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</si>
  <si>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Colonne2</t>
  </si>
  <si>
    <t>05/04/2026</t>
  </si>
  <si>
    <t>Colonne3</t>
  </si>
  <si>
    <t>Colonne4</t>
  </si>
  <si>
    <t>Colonne5</t>
  </si>
  <si>
    <t>Colonne6</t>
  </si>
  <si>
    <t>Colonne62</t>
  </si>
  <si>
    <t>Colonne7</t>
  </si>
  <si>
    <t>Colonne8</t>
  </si>
  <si>
    <t>Colonne1</t>
  </si>
  <si>
    <t>NATHAN</t>
  </si>
  <si>
    <t>DAVE</t>
  </si>
  <si>
    <t>CORINCE</t>
  </si>
  <si>
    <t>LOUIS</t>
  </si>
  <si>
    <t>MECHACK</t>
  </si>
  <si>
    <t>MONICA</t>
  </si>
  <si>
    <t>JENO</t>
  </si>
  <si>
    <t>TOTAL</t>
  </si>
  <si>
    <t>1ERE COTISATIONS 2023-2024</t>
  </si>
  <si>
    <t>DETTES</t>
  </si>
  <si>
    <t>2ème cotisations 2024-2026</t>
  </si>
  <si>
    <t xml:space="preserve">TOTAL DETTES </t>
  </si>
  <si>
    <t>SOMME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</si>
</sst>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\ [$FC-240C]"/>
    <numFmt numFmtId="165" formatCode="_-* #,##0.00\ [$FC-240C]_-;\-* #,##0.00\ [$FC-240C]_-;_-* &quot;-&quot;??\ [$FC-240C]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0000"/>
      <name val="Calibri"/>
    </font>
    <font>
      <b/>
      <sz val="11"/>
      <color rgb="FF00B05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9">
    <xf numFmtId="0" fontId="0" fillId="0" borderId="0" xfId="0"/>
    <xf numFmtId="0" fontId="2" fillId="0" borderId="0" xfId="0" applyFont="1"/>
    <xf numFmtId="164" fontId="0" fillId="0" borderId="0" xfId="0" applyNumberFormat="1"/>
    <xf numFmtId="164" fontId="0" fillId="0" borderId="0" xfId="1" applyNumberFormat="1" applyFont="1"/>
    <xf numFmtId="164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164" fontId="0" fillId="0" borderId="2" xfId="0" applyNumberFormat="1" applyBorder="1"/>
    <xf numFmtId="164" fontId="2" fillId="0" borderId="2" xfId="0" applyNumberFormat="1" applyFont="1" applyBorder="1"/>
    <xf numFmtId="0" fontId="0" fillId="0" borderId="3" xfId="0" applyBorder="1"/>
    <xf numFmtId="0" fontId="3" fillId="0" borderId="2" xfId="0" applyFont="1" applyBorder="1"/>
    <xf numFmtId="0" fontId="0" fillId="0" borderId="0" xfId="0"/>
    <xf numFmtId="165" fontId="0" fillId="0" borderId="2" xfId="0" applyNumberFormat="1" applyBorder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0" fillId="3" borderId="0" xfId="0" applyFill="1"/>
  </cellXfs>
  <cellStyles count="2">
    <cellStyle name="Milliers" xfId="1" builtinId="3"/>
    <cellStyle name="Normal" xfId="0" builtinId="0"/>
  </cellStyles>
  <dxfs count="8"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64" formatCode="#,##0.00\ [$FC-240C]"/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</font>
      <border>
        <left/>
        <right style="thin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I14" totalsRowShown="0">
  <autoFilter ref="A1:I14" xr:uid="{00000000-0009-0000-0100-000001000000}"/>
  <tableColumns count="9">
    <tableColumn id="1" xr3:uid="{00000000-0010-0000-0000-000001000000}" name="Colonne1" dataDxfId="7"/>
    <tableColumn id="2" xr3:uid="{00000000-0010-0000-0000-000002000000}" name="Colonne2" dataDxfId="6"/>
    <tableColumn id="3" xr3:uid="{00000000-0010-0000-0000-000003000000}" name="Colonne3" dataDxfId="5"/>
    <tableColumn id="4" xr3:uid="{00000000-0010-0000-0000-000004000000}" name="Colonne4" dataDxfId="4"/>
    <tableColumn id="5" xr3:uid="{00000000-0010-0000-0000-000005000000}" name="Colonne5" dataDxfId="3"/>
    <tableColumn id="6" xr3:uid="{00000000-0010-0000-0000-000006000000}" name="Colonne6" dataDxfId="2"/>
    <tableColumn id="9" xr3:uid="{00000000-0010-0000-0000-000009000000}" name="Colonne62" dataDxfId="1"/>
    <tableColumn id="7" xr3:uid="{00000000-0010-0000-0000-000007000000}" name="Colonne7" dataDxfId="0"/>
    <tableColumn id="8" xr3:uid="{00000000-0010-0000-0000-000008000000}" name="Colonne8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"/>
  <sheetViews>
    <sheetView tabSelected="1" workbookViewId="0">
      <selection activeCell="K3" sqref="K3"/>
    </sheetView>
  </sheetViews>
  <sheetFormatPr baseColWidth="10" defaultColWidth="8.7265625" defaultRowHeight="14.5" x14ac:dyDescent="0.35"/>
  <cols>
    <col min="1" max="1" width="15" style="11" customWidth="1"/>
    <col min="2" max="2" width="12" style="11" customWidth="1"/>
    <col min="3" max="4" width="15" style="11" customWidth="1"/>
    <col min="5" max="5" width="12" style="11" customWidth="1"/>
    <col min="6" max="9" width="15" style="11" customWidth="1"/>
    <col min="10" max="10" width="2" style="11" customWidth="1"/>
    <col min="11" max="62" width="10" style="11" customWidth="1"/>
  </cols>
  <sheetData>
    <row r="1" spans="1:62" ht="29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/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  <c r="BC1" s="13" t="s">
        <v>53</v>
      </c>
      <c r="BD1" s="13" t="s">
        <v>54</v>
      </c>
      <c r="BE1" s="13" t="s">
        <v>55</v>
      </c>
      <c r="BF1" s="13" t="s">
        <v>56</v>
      </c>
      <c r="BG1" s="13" t="s">
        <v>57</v>
      </c>
      <c r="BH1" s="13" t="s">
        <v>58</v>
      </c>
      <c r="BI1" s="13" t="s">
        <v>59</v>
      </c>
      <c r="BJ1" s="13" t="s">
        <v>60</v>
      </c>
    </row>
    <row r="2" spans="1:62" x14ac:dyDescent="0.35">
      <c r="A2" s="14" t="s">
        <v>61</v>
      </c>
      <c r="B2" s="15" t="s">
        <v>62</v>
      </c>
      <c r="C2">
        <v>0</v>
      </c>
      <c r="D2">
        <v>0</v>
      </c>
      <c r="E2">
        <f t="shared" ref="E2:E9" ca="1" si="0">MAX(0, INT((TODAY()-B2)/7))</f>
        <v>0</v>
      </c>
      <c r="F2" s="16">
        <f t="shared" ref="F2:F9" ca="1" si="1">C2+(E2*10000)</f>
        <v>0</v>
      </c>
      <c r="G2">
        <f t="shared" ref="G2:G9" si="2">SUM(K2:BJ2)</f>
        <v>10000</v>
      </c>
      <c r="H2" s="17">
        <f t="shared" ref="H2:H9" si="3">D2+G2</f>
        <v>10000</v>
      </c>
      <c r="I2" s="14">
        <f t="shared" ref="I2:I9" ca="1" si="4">MAX(0, F2-H2)</f>
        <v>0</v>
      </c>
      <c r="J2" s="18"/>
      <c r="K2" s="11">
        <v>10000</v>
      </c>
    </row>
    <row r="3" spans="1:62" x14ac:dyDescent="0.35">
      <c r="A3" s="14" t="s">
        <v>63</v>
      </c>
      <c r="B3" s="15" t="s">
        <v>62</v>
      </c>
      <c r="C3">
        <v>0</v>
      </c>
      <c r="D3">
        <v>0</v>
      </c>
      <c r="E3">
        <f t="shared" ca="1" si="0"/>
        <v>0</v>
      </c>
      <c r="F3" s="16">
        <f t="shared" ca="1" si="1"/>
        <v>0</v>
      </c>
      <c r="G3">
        <f t="shared" si="2"/>
        <v>0</v>
      </c>
      <c r="H3" s="17">
        <f t="shared" si="3"/>
        <v>0</v>
      </c>
      <c r="I3" s="14">
        <f t="shared" ca="1" si="4"/>
        <v>0</v>
      </c>
      <c r="J3" s="18"/>
    </row>
    <row r="4" spans="1:62" x14ac:dyDescent="0.35">
      <c r="A4" s="14" t="s">
        <v>64</v>
      </c>
      <c r="B4" s="15" t="s">
        <v>62</v>
      </c>
      <c r="C4">
        <v>0</v>
      </c>
      <c r="D4">
        <v>0</v>
      </c>
      <c r="E4">
        <f t="shared" ca="1" si="0"/>
        <v>0</v>
      </c>
      <c r="F4" s="16">
        <f t="shared" ca="1" si="1"/>
        <v>0</v>
      </c>
      <c r="G4">
        <f t="shared" si="2"/>
        <v>0</v>
      </c>
      <c r="H4" s="17">
        <f t="shared" si="3"/>
        <v>0</v>
      </c>
      <c r="I4" s="14">
        <f t="shared" ca="1" si="4"/>
        <v>0</v>
      </c>
      <c r="J4" s="18"/>
    </row>
    <row r="5" spans="1:62" x14ac:dyDescent="0.35">
      <c r="A5" s="14" t="s">
        <v>65</v>
      </c>
      <c r="B5" s="15" t="s">
        <v>62</v>
      </c>
      <c r="C5">
        <v>0</v>
      </c>
      <c r="D5">
        <v>0</v>
      </c>
      <c r="E5">
        <f t="shared" ca="1" si="0"/>
        <v>0</v>
      </c>
      <c r="F5" s="16">
        <f t="shared" ca="1" si="1"/>
        <v>0</v>
      </c>
      <c r="G5">
        <f t="shared" si="2"/>
        <v>0</v>
      </c>
      <c r="H5" s="17">
        <f t="shared" si="3"/>
        <v>0</v>
      </c>
      <c r="I5" s="14">
        <f t="shared" ca="1" si="4"/>
        <v>0</v>
      </c>
      <c r="J5" s="18"/>
    </row>
    <row r="6" spans="1:62" x14ac:dyDescent="0.35">
      <c r="A6" s="14" t="s">
        <v>66</v>
      </c>
      <c r="B6" s="15" t="s">
        <v>62</v>
      </c>
      <c r="C6">
        <v>0</v>
      </c>
      <c r="D6">
        <v>0</v>
      </c>
      <c r="E6">
        <f t="shared" ca="1" si="0"/>
        <v>0</v>
      </c>
      <c r="F6" s="16">
        <f t="shared" ca="1" si="1"/>
        <v>0</v>
      </c>
      <c r="G6">
        <f t="shared" si="2"/>
        <v>0</v>
      </c>
      <c r="H6" s="17">
        <f t="shared" si="3"/>
        <v>0</v>
      </c>
      <c r="I6" s="14">
        <f t="shared" ca="1" si="4"/>
        <v>0</v>
      </c>
      <c r="J6" s="18"/>
    </row>
    <row r="7" spans="1:62" x14ac:dyDescent="0.35">
      <c r="A7" s="14" t="s">
        <v>67</v>
      </c>
      <c r="B7" s="15" t="s">
        <v>62</v>
      </c>
      <c r="C7">
        <v>0</v>
      </c>
      <c r="D7">
        <v>0</v>
      </c>
      <c r="E7">
        <f t="shared" ca="1" si="0"/>
        <v>0</v>
      </c>
      <c r="F7" s="16">
        <f t="shared" ca="1" si="1"/>
        <v>0</v>
      </c>
      <c r="G7">
        <f t="shared" si="2"/>
        <v>0</v>
      </c>
      <c r="H7" s="17">
        <f t="shared" si="3"/>
        <v>0</v>
      </c>
      <c r="I7" s="14">
        <f t="shared" ca="1" si="4"/>
        <v>0</v>
      </c>
      <c r="J7" s="18"/>
    </row>
    <row r="8" spans="1:62" x14ac:dyDescent="0.35">
      <c r="A8" s="14" t="s">
        <v>68</v>
      </c>
      <c r="B8" s="15" t="s">
        <v>62</v>
      </c>
      <c r="C8">
        <v>0</v>
      </c>
      <c r="D8">
        <v>0</v>
      </c>
      <c r="E8">
        <f t="shared" ca="1" si="0"/>
        <v>0</v>
      </c>
      <c r="F8" s="16">
        <f t="shared" ca="1" si="1"/>
        <v>0</v>
      </c>
      <c r="G8">
        <f t="shared" si="2"/>
        <v>0</v>
      </c>
      <c r="H8" s="17">
        <f t="shared" si="3"/>
        <v>0</v>
      </c>
      <c r="I8" s="14">
        <f t="shared" ca="1" si="4"/>
        <v>0</v>
      </c>
      <c r="J8" s="18"/>
    </row>
    <row r="9" spans="1:62" x14ac:dyDescent="0.35">
      <c r="A9" s="14" t="s">
        <v>69</v>
      </c>
      <c r="B9" s="15" t="s">
        <v>62</v>
      </c>
      <c r="C9">
        <v>0</v>
      </c>
      <c r="D9">
        <v>0</v>
      </c>
      <c r="E9">
        <f t="shared" ca="1" si="0"/>
        <v>0</v>
      </c>
      <c r="F9" s="16">
        <f t="shared" ca="1" si="1"/>
        <v>0</v>
      </c>
      <c r="G9">
        <f t="shared" si="2"/>
        <v>0</v>
      </c>
      <c r="H9" s="17">
        <f t="shared" si="3"/>
        <v>0</v>
      </c>
      <c r="I9" s="14">
        <f t="shared" ca="1" si="4"/>
        <v>0</v>
      </c>
      <c r="J9" s="1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" workbookViewId="0">
      <selection activeCell="B15" sqref="B15:D19"/>
    </sheetView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C9" sqref="C9"/>
    </sheetView>
  </sheetViews>
  <sheetFormatPr baseColWidth="10" defaultRowHeight="14.5" x14ac:dyDescent="0.35"/>
  <cols>
    <col min="1" max="1" width="26.90625" style="1" customWidth="1"/>
    <col min="2" max="2" width="13.36328125" style="11" customWidth="1"/>
    <col min="3" max="3" width="12.1796875" style="11" customWidth="1"/>
    <col min="4" max="4" width="13.81640625" style="11" customWidth="1"/>
    <col min="5" max="5" width="12.54296875" style="11" customWidth="1"/>
    <col min="6" max="6" width="13.08984375" style="11" customWidth="1"/>
    <col min="7" max="7" width="15" style="11" customWidth="1"/>
    <col min="8" max="8" width="14.08984375" style="11" customWidth="1"/>
    <col min="9" max="9" width="19" style="11" customWidth="1"/>
  </cols>
  <sheetData>
    <row r="1" spans="1:10" x14ac:dyDescent="0.35">
      <c r="A1" s="1" t="s">
        <v>70</v>
      </c>
      <c r="B1" t="s">
        <v>61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 spans="1:10" s="1" customFormat="1" x14ac:dyDescent="0.35">
      <c r="A2" s="5"/>
      <c r="B2" s="6" t="s">
        <v>71</v>
      </c>
      <c r="C2" s="6" t="s">
        <v>72</v>
      </c>
      <c r="D2" s="6" t="s">
        <v>73</v>
      </c>
      <c r="E2" s="6" t="s">
        <v>74</v>
      </c>
      <c r="F2" s="6" t="s">
        <v>75</v>
      </c>
      <c r="G2" s="6" t="s">
        <v>76</v>
      </c>
      <c r="H2" s="10" t="s">
        <v>77</v>
      </c>
      <c r="I2" s="1" t="s">
        <v>78</v>
      </c>
    </row>
    <row r="3" spans="1:10" x14ac:dyDescent="0.35">
      <c r="A3" s="5" t="s">
        <v>79</v>
      </c>
      <c r="B3" s="7">
        <v>89000</v>
      </c>
      <c r="C3" s="7">
        <v>0</v>
      </c>
      <c r="D3" s="7">
        <v>0</v>
      </c>
      <c r="E3" s="7">
        <v>10000</v>
      </c>
      <c r="F3" s="7">
        <v>234000</v>
      </c>
      <c r="G3" s="7">
        <v>0</v>
      </c>
      <c r="H3" s="7">
        <v>50000</v>
      </c>
      <c r="I3" s="2"/>
      <c r="J3" s="2"/>
    </row>
    <row r="4" spans="1:10" x14ac:dyDescent="0.35">
      <c r="A4" s="5"/>
      <c r="B4" s="7"/>
      <c r="C4" s="7"/>
      <c r="D4" s="7"/>
      <c r="E4" s="7"/>
      <c r="F4" s="7"/>
      <c r="G4" s="7"/>
      <c r="H4" s="7"/>
      <c r="I4" s="2"/>
      <c r="J4" s="2"/>
    </row>
    <row r="5" spans="1:10" x14ac:dyDescent="0.35">
      <c r="A5" s="5" t="s">
        <v>80</v>
      </c>
      <c r="B5" s="7">
        <v>151000</v>
      </c>
      <c r="C5" s="7">
        <v>240000</v>
      </c>
      <c r="D5" s="7">
        <v>240000</v>
      </c>
      <c r="E5" s="7">
        <v>230000</v>
      </c>
      <c r="F5" s="7">
        <v>6000</v>
      </c>
      <c r="G5" s="7"/>
      <c r="H5" s="7">
        <v>190000</v>
      </c>
      <c r="I5" s="3"/>
      <c r="J5" s="2"/>
    </row>
    <row r="6" spans="1:10" x14ac:dyDescent="0.35">
      <c r="A6" s="5"/>
      <c r="B6" s="7">
        <f>Suivi_Hebdomadaire!H2</f>
        <v>10000</v>
      </c>
      <c r="C6" s="7">
        <f>Suivi_Hebdomadaire!H3</f>
        <v>0</v>
      </c>
      <c r="D6" s="7">
        <f>Suivi_Hebdomadaire!H4</f>
        <v>0</v>
      </c>
      <c r="E6" s="7">
        <f>Suivi_Hebdomadaire!H5</f>
        <v>0</v>
      </c>
      <c r="F6" s="7">
        <f>Suivi_Hebdomadaire!H6</f>
        <v>0</v>
      </c>
      <c r="G6" s="7">
        <f>Suivi_Hebdomadaire!H7</f>
        <v>0</v>
      </c>
      <c r="H6" s="7">
        <f>Suivi_Hebdomadaire!H8</f>
        <v>0</v>
      </c>
      <c r="I6" s="2">
        <f>Suivi_Hebdomadaire!H9</f>
        <v>0</v>
      </c>
      <c r="J6" s="2"/>
    </row>
    <row r="7" spans="1:10" x14ac:dyDescent="0.35">
      <c r="A7" s="5" t="s">
        <v>81</v>
      </c>
      <c r="B7" s="7">
        <v>10000</v>
      </c>
      <c r="C7" s="7">
        <v>50000</v>
      </c>
      <c r="D7" s="7">
        <v>90000</v>
      </c>
      <c r="E7" s="7">
        <v>300000</v>
      </c>
      <c r="F7" s="7">
        <v>110000</v>
      </c>
      <c r="G7" s="12">
        <v>130000</v>
      </c>
      <c r="H7" s="7">
        <v>25000</v>
      </c>
      <c r="I7" s="2"/>
      <c r="J7" s="2"/>
    </row>
    <row r="8" spans="1:10" x14ac:dyDescent="0.35">
      <c r="A8" s="5"/>
      <c r="B8" s="7">
        <f ca="1">Suivi_Hebdomadaire!I2</f>
        <v>0</v>
      </c>
      <c r="C8" s="7">
        <f ca="1">Suivi_Hebdomadaire!I3</f>
        <v>0</v>
      </c>
      <c r="D8" s="7">
        <f ca="1">Suivi_Hebdomadaire!I4</f>
        <v>0</v>
      </c>
      <c r="E8" s="7">
        <f ca="1">Suivi_Hebdomadaire!I5</f>
        <v>0</v>
      </c>
      <c r="F8" s="7">
        <f ca="1">Suivi_Hebdomadaire!I6</f>
        <v>0</v>
      </c>
      <c r="G8" s="7">
        <f ca="1">Suivi_Hebdomadaire!I7</f>
        <v>0</v>
      </c>
      <c r="H8" s="7">
        <f ca="1">Suivi_Hebdomadaire!I8</f>
        <v>0</v>
      </c>
      <c r="I8" s="2">
        <f ca="1">Suivi_Hebdomadaire!I9</f>
        <v>0</v>
      </c>
      <c r="J8" s="2"/>
    </row>
    <row r="9" spans="1:10" x14ac:dyDescent="0.35">
      <c r="A9" s="5" t="s">
        <v>80</v>
      </c>
      <c r="B9" s="7">
        <v>210000</v>
      </c>
      <c r="C9" s="7">
        <v>200000</v>
      </c>
      <c r="D9" s="7">
        <v>180000</v>
      </c>
      <c r="E9" s="7">
        <v>50000</v>
      </c>
      <c r="F9" s="7">
        <v>110000</v>
      </c>
      <c r="G9" s="7"/>
      <c r="H9" s="7">
        <v>195000</v>
      </c>
      <c r="I9" s="2"/>
      <c r="J9" s="2"/>
    </row>
    <row r="10" spans="1:10" x14ac:dyDescent="0.35">
      <c r="A10" s="5"/>
      <c r="B10" s="7"/>
      <c r="C10" s="7"/>
      <c r="D10" s="7"/>
      <c r="E10" s="7"/>
      <c r="F10" s="7"/>
      <c r="G10" s="7"/>
      <c r="H10" s="7"/>
      <c r="I10" s="2"/>
      <c r="J10" s="2"/>
    </row>
    <row r="11" spans="1:10" x14ac:dyDescent="0.35">
      <c r="A11" s="5"/>
      <c r="B11" s="7"/>
      <c r="C11" s="7"/>
      <c r="D11" s="7"/>
      <c r="E11" s="7"/>
      <c r="F11" s="7"/>
      <c r="G11" s="7"/>
      <c r="H11" s="7"/>
      <c r="I11" s="2"/>
      <c r="J11" s="2"/>
    </row>
    <row r="12" spans="1:10" x14ac:dyDescent="0.35">
      <c r="A12" s="5"/>
      <c r="B12" s="7"/>
      <c r="C12" s="7"/>
      <c r="D12" s="7"/>
      <c r="E12" s="7"/>
      <c r="F12" s="7"/>
      <c r="G12" s="7"/>
      <c r="H12" s="7"/>
      <c r="I12" s="2"/>
      <c r="J12" s="2"/>
    </row>
    <row r="13" spans="1:10" x14ac:dyDescent="0.35">
      <c r="A13" s="5" t="s">
        <v>82</v>
      </c>
      <c r="B13" s="7">
        <f t="shared" ref="B13:H13" si="0">(B5+B9)</f>
        <v>361000</v>
      </c>
      <c r="C13" s="7">
        <f t="shared" si="0"/>
        <v>440000</v>
      </c>
      <c r="D13" s="7">
        <f t="shared" si="0"/>
        <v>420000</v>
      </c>
      <c r="E13" s="7">
        <f t="shared" si="0"/>
        <v>280000</v>
      </c>
      <c r="F13" s="7">
        <f t="shared" si="0"/>
        <v>116000</v>
      </c>
      <c r="G13" s="7">
        <f t="shared" si="0"/>
        <v>0</v>
      </c>
      <c r="H13" s="7">
        <f t="shared" si="0"/>
        <v>385000</v>
      </c>
      <c r="I13" s="2"/>
      <c r="J13" s="2"/>
    </row>
    <row r="14" spans="1:10" s="1" customFormat="1" x14ac:dyDescent="0.35">
      <c r="A14" s="5" t="s">
        <v>83</v>
      </c>
      <c r="B14" s="8">
        <f t="shared" ref="B14:H14" si="1">SUM(B3+B7)</f>
        <v>99000</v>
      </c>
      <c r="C14" s="8">
        <f t="shared" si="1"/>
        <v>50000</v>
      </c>
      <c r="D14" s="8">
        <f t="shared" si="1"/>
        <v>90000</v>
      </c>
      <c r="E14" s="8">
        <f t="shared" si="1"/>
        <v>310000</v>
      </c>
      <c r="F14" s="8">
        <f t="shared" si="1"/>
        <v>344000</v>
      </c>
      <c r="G14" s="8">
        <f t="shared" si="1"/>
        <v>130000</v>
      </c>
      <c r="H14" s="8">
        <f t="shared" si="1"/>
        <v>75000</v>
      </c>
      <c r="I14" s="4">
        <f>SUM(Tableau1[[#This Row],[Colonne2]:[Colonne7]])</f>
        <v>1098000</v>
      </c>
      <c r="J14" s="4"/>
    </row>
    <row r="15" spans="1:10" x14ac:dyDescent="0.35">
      <c r="F15" s="9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Suivi_Hebdomadaire</vt:lpstr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Munde</dc:creator>
  <cp:lastModifiedBy>David</cp:lastModifiedBy>
  <cp:lastPrinted>2024-12-22T19:20:57Z</cp:lastPrinted>
  <dcterms:created xsi:type="dcterms:W3CDTF">2024-12-22T18:40:27Z</dcterms:created>
  <dcterms:modified xsi:type="dcterms:W3CDTF">2026-04-05T07:51:35Z</dcterms:modified>
</cp:coreProperties>
</file>